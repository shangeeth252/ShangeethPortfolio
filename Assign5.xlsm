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ngeeth\Desktop\University docs\3rd Year\Commerce 3fd3\OurAssingments\"/>
    </mc:Choice>
  </mc:AlternateContent>
  <xr:revisionPtr revIDLastSave="0" documentId="13_ncr:1_{6053FDC7-9916-4891-B397-611F3D808B8A}" xr6:coauthVersionLast="45" xr6:coauthVersionMax="45" xr10:uidLastSave="{00000000-0000-0000-0000-000000000000}"/>
  <bookViews>
    <workbookView xWindow="-120" yWindow="-120" windowWidth="20730" windowHeight="11160" activeTab="1" xr2:uid="{00000000-000D-0000-FFFF-FFFF00000000}"/>
  </bookViews>
  <sheets>
    <sheet name="Group members" sheetId="4" r:id="rId1"/>
    <sheet name="OptionsRUS" sheetId="5" r:id="rId2"/>
  </sheets>
  <definedNames>
    <definedName name="Excercise_Price">OptionsRUS!$B$7</definedName>
    <definedName name="RiskFreeRate">OptionsRUS!$B$4</definedName>
    <definedName name="Spot_Price">OptionsRUS!$B$8</definedName>
    <definedName name="Standard_Deviation">OptionsRUS!$B$6</definedName>
    <definedName name="TimeToExpiry">OptionsRUS!$B$5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8" i="5" l="1"/>
  <c r="B4" i="5" l="1"/>
  <c r="B5" i="5"/>
  <c r="B6" i="5"/>
  <c r="B7" i="5"/>
  <c r="B14" i="5" l="1"/>
  <c r="N6" i="5" s="1"/>
  <c r="F4" i="5"/>
  <c r="F6" i="5" s="1"/>
  <c r="B13" i="5"/>
  <c r="J6" i="5" s="1"/>
  <c r="F8" i="5" l="1"/>
  <c r="F5" i="5"/>
  <c r="F7" i="5" s="1"/>
  <c r="B11" i="5" s="1"/>
  <c r="F9" i="5" l="1"/>
  <c r="B12" i="5" s="1"/>
  <c r="M6" i="5" s="1"/>
  <c r="I6" i="5"/>
  <c r="Q10" i="5" l="1"/>
  <c r="Q9" i="5"/>
  <c r="Q12" i="5"/>
  <c r="Q8" i="5"/>
  <c r="Q6" i="5"/>
  <c r="Q7" i="5"/>
  <c r="Q13" i="5"/>
  <c r="Q11" i="5"/>
</calcChain>
</file>

<file path=xl/sharedStrings.xml><?xml version="1.0" encoding="utf-8"?>
<sst xmlns="http://schemas.openxmlformats.org/spreadsheetml/2006/main" count="42" uniqueCount="37">
  <si>
    <t>Parameters</t>
  </si>
  <si>
    <t>Spot Price ($)</t>
  </si>
  <si>
    <t>Call Price ($)</t>
  </si>
  <si>
    <t>Exercise Price: X ($)</t>
  </si>
  <si>
    <t>Time to Expiry: T (Years)</t>
  </si>
  <si>
    <t>Risk Free Rate: Rf (cc)</t>
  </si>
  <si>
    <t>Call Intrinsic Value ($)</t>
  </si>
  <si>
    <t>Put Intrinsic Value ($)</t>
  </si>
  <si>
    <t>d1</t>
  </si>
  <si>
    <t>d2</t>
  </si>
  <si>
    <t>Normal d2</t>
  </si>
  <si>
    <t>Normal d1</t>
  </si>
  <si>
    <t>Normal -d1</t>
  </si>
  <si>
    <t>Normal -d2</t>
  </si>
  <si>
    <t>Calculations</t>
  </si>
  <si>
    <t>Std. Dev.: σ (Annually)</t>
  </si>
  <si>
    <t>Q1</t>
  </si>
  <si>
    <t>Q2</t>
  </si>
  <si>
    <t>Group Members</t>
  </si>
  <si>
    <t>Student #</t>
  </si>
  <si>
    <t>Mac ID</t>
  </si>
  <si>
    <t xml:space="preserve">Uthayakumar, Shangeeth </t>
  </si>
  <si>
    <t>uthayaks</t>
  </si>
  <si>
    <t>Options R Us Pricing Model</t>
  </si>
  <si>
    <t>Put Price ($)</t>
  </si>
  <si>
    <t>Intrinsic Value ($)</t>
  </si>
  <si>
    <t>Close ($)</t>
  </si>
  <si>
    <t>Profit ($)</t>
  </si>
  <si>
    <t>Profit</t>
  </si>
  <si>
    <t>Put Option</t>
  </si>
  <si>
    <t>Call Option</t>
  </si>
  <si>
    <t xml:space="preserve">On the other hand if you buy puts, the most that you can lose is the premium that you have paid for them, while the potential profit is high. </t>
  </si>
  <si>
    <t xml:space="preserve">Short selling is more expensive because of the margin requirements to do so. </t>
  </si>
  <si>
    <t>There are more rules and more expensive fees for a short seller than an option trader.</t>
  </si>
  <si>
    <t>The option package mirrors short selling from a non-derivative financial position.</t>
  </si>
  <si>
    <t xml:space="preserve">Short selling is riskier than buying puts. With short sales, the reward is limited (since the most that the stock can decline to is zero), while the risk is unlimited. </t>
  </si>
  <si>
    <t>Short selling and put options are essentially bear market strategies used to see a potential decline in a security or index, or to hedge downside risk in a portfolio or specific stock.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</si>
</sst>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&quot;$&quot;#,##0.00"/>
    <numFmt numFmtId="167" formatCode="&quot;$&quot;#,##0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26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name val="Arial"/>
      <family val="2"/>
    </font>
    <font>
      <sz val="22"/>
      <color theme="1"/>
      <name val="Cambria"/>
      <family val="1"/>
    </font>
    <font>
      <sz val="14"/>
      <color theme="1"/>
      <name val="Cambria"/>
      <family val="1"/>
    </font>
    <font>
      <sz val="11"/>
      <color theme="1"/>
      <name val="Cambria"/>
      <family val="1"/>
    </font>
    <font>
      <sz val="16"/>
      <color theme="1"/>
      <name val="Cambria"/>
      <family val="1"/>
    </font>
    <font>
      <sz val="11"/>
      <color rgb="FF003366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theme="2" tint="-9.9978637043366805E-2"/>
        <bgColor indexed="64"/>
      </patternFill>
    </fill>
    <fill>
      <gradientFill degree="90">
        <stop position="0">
          <color theme="0"/>
        </stop>
        <stop position="1">
          <color theme="8"/>
        </stop>
      </gradientFill>
    </fill>
    <fill>
      <gradientFill degree="90">
        <stop position="0">
          <color theme="0"/>
        </stop>
        <stop position="1">
          <color theme="9"/>
        </stop>
      </gradientFill>
    </fill>
    <fill>
      <gradientFill degree="90">
        <stop position="0">
          <color theme="0"/>
        </stop>
        <stop position="1">
          <color rgb="FFFFFF00"/>
        </stop>
      </gradientFill>
    </fill>
    <fill>
      <gradientFill degree="90">
        <stop position="0">
          <color theme="0"/>
        </stop>
        <stop position="1">
          <color theme="6"/>
        </stop>
      </gradientFill>
    </fill>
    <fill>
      <gradientFill degree="90">
        <stop position="0">
          <color theme="0"/>
        </stop>
        <stop position="1">
          <color theme="3" tint="0.59999389629810485"/>
        </stop>
      </gradientFill>
    </fill>
    <fill>
      <gradientFill degree="90">
        <stop position="0">
          <color theme="0"/>
        </stop>
        <stop position="1">
          <color theme="4" tint="0.40000610370189521"/>
        </stop>
      </gradient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8" fillId="0" borderId="0"/>
    <xf numFmtId="9" fontId="8" fillId="0" borderId="0" applyFont="0" applyFill="0" applyBorder="0" applyAlignment="0" applyProtection="0"/>
  </cellStyleXfs>
  <cellXfs count="31">
    <xf numFmtId="0" fontId="0" fillId="0" borderId="0" xfId="0"/>
    <xf numFmtId="0" fontId="5" fillId="0" borderId="0" xfId="0" applyFont="1"/>
    <xf numFmtId="0" fontId="0" fillId="0" borderId="0" xfId="0"/>
    <xf numFmtId="0" fontId="6" fillId="0" borderId="0" xfId="0" applyFont="1"/>
    <xf numFmtId="0" fontId="7" fillId="0" borderId="0" xfId="0" applyFont="1"/>
    <xf numFmtId="0" fontId="0" fillId="2" borderId="1" xfId="0" applyFill="1" applyBorder="1"/>
    <xf numFmtId="0" fontId="0" fillId="3" borderId="1" xfId="0" applyFill="1" applyBorder="1"/>
    <xf numFmtId="0" fontId="0" fillId="3" borderId="1" xfId="0" applyNumberFormat="1" applyFill="1" applyBorder="1"/>
    <xf numFmtId="0" fontId="4" fillId="0" borderId="0" xfId="0" applyFont="1" applyAlignme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2" fillId="0" borderId="0" xfId="0" applyFont="1" applyAlignment="1"/>
    <xf numFmtId="0" fontId="12" fillId="0" borderId="0" xfId="0" applyFont="1" applyBorder="1"/>
    <xf numFmtId="0" fontId="10" fillId="0" borderId="0" xfId="0" applyFont="1" applyAlignment="1">
      <alignment horizontal="right"/>
    </xf>
    <xf numFmtId="0" fontId="11" fillId="0" borderId="0" xfId="0" applyFont="1" applyProtection="1">
      <protection locked="0"/>
    </xf>
    <xf numFmtId="165" fontId="10" fillId="0" borderId="0" xfId="0" applyNumberFormat="1" applyFont="1"/>
    <xf numFmtId="0" fontId="10" fillId="7" borderId="2" xfId="0" applyFont="1" applyFill="1" applyBorder="1" applyAlignment="1">
      <alignment horizontal="right"/>
    </xf>
    <xf numFmtId="0" fontId="10" fillId="6" borderId="1" xfId="0" applyFont="1" applyFill="1" applyBorder="1"/>
    <xf numFmtId="9" fontId="10" fillId="6" borderId="1" xfId="1" applyFont="1" applyFill="1" applyBorder="1"/>
    <xf numFmtId="164" fontId="10" fillId="8" borderId="1" xfId="0" applyNumberFormat="1" applyFont="1" applyFill="1" applyBorder="1"/>
    <xf numFmtId="0" fontId="10" fillId="8" borderId="1" xfId="0" applyFont="1" applyFill="1" applyBorder="1"/>
    <xf numFmtId="167" fontId="11" fillId="9" borderId="1" xfId="0" applyNumberFormat="1" applyFont="1" applyFill="1" applyBorder="1" applyAlignment="1">
      <alignment horizontal="center"/>
    </xf>
    <xf numFmtId="166" fontId="11" fillId="9" borderId="1" xfId="0" applyNumberFormat="1" applyFont="1" applyFill="1" applyBorder="1" applyAlignment="1">
      <alignment horizontal="center"/>
    </xf>
    <xf numFmtId="0" fontId="11" fillId="7" borderId="3" xfId="0" applyFont="1" applyFill="1" applyBorder="1" applyAlignment="1">
      <alignment horizontal="center"/>
    </xf>
    <xf numFmtId="9" fontId="10" fillId="6" borderId="3" xfId="1" applyNumberFormat="1" applyFont="1" applyFill="1" applyBorder="1"/>
    <xf numFmtId="164" fontId="10" fillId="8" borderId="3" xfId="0" applyNumberFormat="1" applyFont="1" applyFill="1" applyBorder="1"/>
    <xf numFmtId="0" fontId="9" fillId="5" borderId="0" xfId="0" applyFont="1" applyFill="1" applyAlignment="1">
      <alignment horizontal="center" vertical="center"/>
    </xf>
    <xf numFmtId="0" fontId="12" fillId="4" borderId="4" xfId="0" applyFont="1" applyFill="1" applyBorder="1" applyAlignment="1">
      <alignment horizontal="center"/>
    </xf>
    <xf numFmtId="0" fontId="12" fillId="4" borderId="6" xfId="0" applyFont="1" applyFill="1" applyBorder="1" applyAlignment="1">
      <alignment horizontal="center"/>
    </xf>
    <xf numFmtId="0" fontId="12" fillId="4" borderId="5" xfId="0" applyFont="1" applyFill="1" applyBorder="1" applyAlignment="1">
      <alignment horizontal="center"/>
    </xf>
  </cellXfs>
  <cellStyles count="8">
    <cellStyle name="Followed Hyperlink" xfId="3" builtinId="9" hidden="1"/>
    <cellStyle name="Followed Hyperlink" xfId="5" builtinId="9" hidden="1"/>
    <cellStyle name="Hyperlink" xfId="2" builtinId="8" hidden="1"/>
    <cellStyle name="Hyperlink" xfId="4" builtinId="8" hidden="1"/>
    <cellStyle name="Normal" xfId="0" builtinId="0"/>
    <cellStyle name="Normal 2" xfId="6" xr:uid="{00000000-0005-0000-0000-000005000000}"/>
    <cellStyle name="Percent" xfId="1" builtinId="5"/>
    <cellStyle name="Percent 2" xfId="7" xr:uid="{00000000-0005-0000-0000-000007000000}"/>
  </cellStyles>
  <dxfs count="0"/>
  <tableStyles count="0" defaultTableStyle="TableStyleMedium9" defaultPivotStyle="PivotStyleLight16"/>
  <colors>
    <mruColors>
      <color rgb="FF00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/>
            </a:pPr>
            <a:r>
              <a:rPr lang="en-CA" sz="2000" b="0"/>
              <a:t>Call Option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OptionsRUS!$I$5</c:f>
              <c:strCache>
                <c:ptCount val="1"/>
                <c:pt idx="0">
                  <c:v>Call Price ($)</c:v>
                </c:pt>
              </c:strCache>
            </c:strRef>
          </c:tx>
          <c:marker>
            <c:symbol val="none"/>
          </c:marker>
          <c:cat>
            <c:numRef>
              <c:f>OptionsRUS!$H$7:$H$14</c:f>
              <c:numCache>
                <c:formatCode>"$"#,##0</c:formatCode>
                <c:ptCount val="8"/>
                <c:pt idx="0">
                  <c:v>25</c:v>
                </c:pt>
                <c:pt idx="1">
                  <c:v>35</c:v>
                </c:pt>
                <c:pt idx="2">
                  <c:v>45</c:v>
                </c:pt>
                <c:pt idx="3">
                  <c:v>55</c:v>
                </c:pt>
                <c:pt idx="4">
                  <c:v>65</c:v>
                </c:pt>
                <c:pt idx="5">
                  <c:v>75</c:v>
                </c:pt>
                <c:pt idx="6">
                  <c:v>85</c:v>
                </c:pt>
                <c:pt idx="7">
                  <c:v>95</c:v>
                </c:pt>
              </c:numCache>
            </c:numRef>
          </c:cat>
          <c:val>
            <c:numRef>
              <c:f>OptionsRUS!$I$7:$I$14</c:f>
              <c:numCache>
                <c:formatCode>"$"#,##0.00</c:formatCode>
                <c:ptCount val="8"/>
                <c:pt idx="0">
                  <c:v>1.8174933747733529E-4</c:v>
                </c:pt>
                <c:pt idx="1">
                  <c:v>2.9696931103320501E-2</c:v>
                </c:pt>
                <c:pt idx="2">
                  <c:v>0.47796976612837216</c:v>
                </c:pt>
                <c:pt idx="3">
                  <c:v>2.484320308731041</c:v>
                </c:pt>
                <c:pt idx="4">
                  <c:v>7.0020593522247516</c:v>
                </c:pt>
                <c:pt idx="5">
                  <c:v>13.894503465194255</c:v>
                </c:pt>
                <c:pt idx="6">
                  <c:v>22.379350435756812</c:v>
                </c:pt>
                <c:pt idx="7">
                  <c:v>31.717401842838342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8B-4290-9AAA-D75D898DCE85}"/>
            </c:ext>
          </c:extLst>
        </c:ser>
        <c:ser>
          <c:idx val="5"/>
          <c:order val="1"/>
          <c:tx>
            <c:strRef>
              <c:f>OptionsRUS!$J$5</c:f>
              <c:strCache>
                <c:ptCount val="1"/>
                <c:pt idx="0">
                  <c:v>Intrinsic Value ($)</c:v>
                </c:pt>
              </c:strCache>
            </c:strRef>
          </c:tx>
          <c:marker>
            <c:symbol val="none"/>
          </c:marker>
          <c:cat>
            <c:numRef>
              <c:f>OptionsRUS!$H$7:$H$14</c:f>
              <c:numCache>
                <c:formatCode>"$"#,##0</c:formatCode>
                <c:ptCount val="8"/>
                <c:pt idx="0">
                  <c:v>25</c:v>
                </c:pt>
                <c:pt idx="1">
                  <c:v>35</c:v>
                </c:pt>
                <c:pt idx="2">
                  <c:v>45</c:v>
                </c:pt>
                <c:pt idx="3">
                  <c:v>55</c:v>
                </c:pt>
                <c:pt idx="4">
                  <c:v>65</c:v>
                </c:pt>
                <c:pt idx="5">
                  <c:v>75</c:v>
                </c:pt>
                <c:pt idx="6">
                  <c:v>85</c:v>
                </c:pt>
                <c:pt idx="7">
                  <c:v>95</c:v>
                </c:pt>
              </c:numCache>
            </c:numRef>
          </c:cat>
          <c:val>
            <c:numRef>
              <c:f>OptionsRUS!$J$7:$J$14</c:f>
              <c:numCache>
                <c:formatCode>"$"#,##0.00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  <c:pt idx="6">
                  <c:v>20</c:v>
                </c:pt>
                <c:pt idx="7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8B-4290-9AAA-D75D898DCE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878976"/>
        <c:axId val="120891264"/>
      </c:lineChart>
      <c:catAx>
        <c:axId val="1208789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Spot Price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20891264"/>
        <c:crosses val="autoZero"/>
        <c:auto val="1"/>
        <c:lblAlgn val="ctr"/>
        <c:lblOffset val="100"/>
        <c:noMultiLvlLbl val="0"/>
      </c:catAx>
      <c:valAx>
        <c:axId val="120891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Value</a:t>
                </a:r>
              </a:p>
            </c:rich>
          </c:tx>
          <c:overlay val="0"/>
        </c:title>
        <c:numFmt formatCode="&quot;$&quot;#,##0.00" sourceLinked="1"/>
        <c:majorTickMark val="out"/>
        <c:minorTickMark val="none"/>
        <c:tickLblPos val="nextTo"/>
        <c:crossAx val="12087897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gradFill>
      <a:gsLst>
        <a:gs pos="16000">
          <a:schemeClr val="accent1">
            <a:lumMod val="5000"/>
            <a:lumOff val="95000"/>
          </a:schemeClr>
        </a:gs>
        <a:gs pos="46000">
          <a:schemeClr val="accent1">
            <a:lumMod val="45000"/>
            <a:lumOff val="55000"/>
          </a:schemeClr>
        </a:gs>
        <a:gs pos="65000">
          <a:schemeClr val="accent1">
            <a:lumMod val="45000"/>
            <a:lumOff val="55000"/>
          </a:schemeClr>
        </a:gs>
        <a:gs pos="90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/>
            </a:pPr>
            <a:r>
              <a:rPr lang="en-CA" sz="2000" b="0"/>
              <a:t>Put Option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OptionsRUS!$M$5</c:f>
              <c:strCache>
                <c:ptCount val="1"/>
                <c:pt idx="0">
                  <c:v>Put Price ($)</c:v>
                </c:pt>
              </c:strCache>
            </c:strRef>
          </c:tx>
          <c:marker>
            <c:symbol val="none"/>
          </c:marker>
          <c:cat>
            <c:numRef>
              <c:f>OptionsRUS!$L$7:$L$14</c:f>
              <c:numCache>
                <c:formatCode>"$"#,##0</c:formatCode>
                <c:ptCount val="8"/>
                <c:pt idx="0">
                  <c:v>25</c:v>
                </c:pt>
                <c:pt idx="1">
                  <c:v>35</c:v>
                </c:pt>
                <c:pt idx="2">
                  <c:v>45</c:v>
                </c:pt>
                <c:pt idx="3">
                  <c:v>55</c:v>
                </c:pt>
                <c:pt idx="4">
                  <c:v>65</c:v>
                </c:pt>
                <c:pt idx="5">
                  <c:v>75</c:v>
                </c:pt>
                <c:pt idx="6">
                  <c:v>85</c:v>
                </c:pt>
                <c:pt idx="7">
                  <c:v>95</c:v>
                </c:pt>
              </c:numCache>
            </c:numRef>
          </c:cat>
          <c:val>
            <c:numRef>
              <c:f>OptionsRUS!$M$7:$M$14</c:f>
              <c:numCache>
                <c:formatCode>"$"#,##0.00</c:formatCode>
                <c:ptCount val="8"/>
                <c:pt idx="0">
                  <c:v>38.713095514276574</c:v>
                </c:pt>
                <c:pt idx="1">
                  <c:v>28.742610696042412</c:v>
                </c:pt>
                <c:pt idx="2">
                  <c:v>19.190883531067456</c:v>
                </c:pt>
                <c:pt idx="3">
                  <c:v>11.197234073670138</c:v>
                </c:pt>
                <c:pt idx="4">
                  <c:v>5.7149731171638329</c:v>
                </c:pt>
                <c:pt idx="5">
                  <c:v>2.6074172301333398</c:v>
                </c:pt>
                <c:pt idx="6">
                  <c:v>1.0922642006958991</c:v>
                </c:pt>
                <c:pt idx="7">
                  <c:v>0.43031560777742905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70-4088-B2AC-64DEB58614EE}"/>
            </c:ext>
          </c:extLst>
        </c:ser>
        <c:ser>
          <c:idx val="5"/>
          <c:order val="1"/>
          <c:tx>
            <c:strRef>
              <c:f>OptionsRUS!$N$5</c:f>
              <c:strCache>
                <c:ptCount val="1"/>
                <c:pt idx="0">
                  <c:v>Intrinsic Value ($)</c:v>
                </c:pt>
              </c:strCache>
            </c:strRef>
          </c:tx>
          <c:marker>
            <c:symbol val="none"/>
          </c:marker>
          <c:cat>
            <c:numRef>
              <c:f>OptionsRUS!$L$7:$L$14</c:f>
              <c:numCache>
                <c:formatCode>"$"#,##0</c:formatCode>
                <c:ptCount val="8"/>
                <c:pt idx="0">
                  <c:v>25</c:v>
                </c:pt>
                <c:pt idx="1">
                  <c:v>35</c:v>
                </c:pt>
                <c:pt idx="2">
                  <c:v>45</c:v>
                </c:pt>
                <c:pt idx="3">
                  <c:v>55</c:v>
                </c:pt>
                <c:pt idx="4">
                  <c:v>65</c:v>
                </c:pt>
                <c:pt idx="5">
                  <c:v>75</c:v>
                </c:pt>
                <c:pt idx="6">
                  <c:v>85</c:v>
                </c:pt>
                <c:pt idx="7">
                  <c:v>95</c:v>
                </c:pt>
              </c:numCache>
            </c:numRef>
          </c:cat>
          <c:val>
            <c:numRef>
              <c:f>OptionsRUS!$N$7:$N$14</c:f>
              <c:numCache>
                <c:formatCode>"$"#,##0.00</c:formatCode>
                <c:ptCount val="8"/>
                <c:pt idx="0">
                  <c:v>40</c:v>
                </c:pt>
                <c:pt idx="1">
                  <c:v>30</c:v>
                </c:pt>
                <c:pt idx="2">
                  <c:v>20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70-4088-B2AC-64DEB58614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290752"/>
        <c:axId val="147301120"/>
      </c:lineChart>
      <c:catAx>
        <c:axId val="147290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Spot Price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47301120"/>
        <c:crosses val="autoZero"/>
        <c:auto val="1"/>
        <c:lblAlgn val="ctr"/>
        <c:lblOffset val="100"/>
        <c:noMultiLvlLbl val="0"/>
      </c:catAx>
      <c:valAx>
        <c:axId val="1473011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Value</a:t>
                </a:r>
              </a:p>
            </c:rich>
          </c:tx>
          <c:overlay val="0"/>
        </c:title>
        <c:numFmt formatCode="&quot;$&quot;#,##0.00" sourceLinked="1"/>
        <c:majorTickMark val="out"/>
        <c:minorTickMark val="none"/>
        <c:tickLblPos val="nextTo"/>
        <c:crossAx val="147290752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gradFill>
      <a:gsLst>
        <a:gs pos="1000">
          <a:schemeClr val="accent1">
            <a:lumMod val="5000"/>
            <a:lumOff val="95000"/>
          </a:schemeClr>
        </a:gs>
        <a:gs pos="31000">
          <a:schemeClr val="accent1">
            <a:lumMod val="45000"/>
            <a:lumOff val="55000"/>
          </a:schemeClr>
        </a:gs>
        <a:gs pos="53000">
          <a:schemeClr val="accent1">
            <a:lumMod val="45000"/>
            <a:lumOff val="55000"/>
          </a:schemeClr>
        </a:gs>
        <a:gs pos="76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0"/>
            </a:pPr>
            <a:r>
              <a:rPr lang="en-CA" sz="2000" b="0"/>
              <a:t>Profit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OptionsRUS!$Q$5</c:f>
              <c:strCache>
                <c:ptCount val="1"/>
                <c:pt idx="0">
                  <c:v>Profit ($)</c:v>
                </c:pt>
              </c:strCache>
            </c:strRef>
          </c:tx>
          <c:marker>
            <c:symbol val="none"/>
          </c:marker>
          <c:cat>
            <c:numRef>
              <c:f>OptionsRUS!$P$6:$P$13</c:f>
              <c:numCache>
                <c:formatCode>"$"#,##0</c:formatCode>
                <c:ptCount val="8"/>
                <c:pt idx="0">
                  <c:v>25</c:v>
                </c:pt>
                <c:pt idx="1">
                  <c:v>35</c:v>
                </c:pt>
                <c:pt idx="2">
                  <c:v>45</c:v>
                </c:pt>
                <c:pt idx="3">
                  <c:v>55</c:v>
                </c:pt>
                <c:pt idx="4">
                  <c:v>65</c:v>
                </c:pt>
                <c:pt idx="5">
                  <c:v>75</c:v>
                </c:pt>
                <c:pt idx="6">
                  <c:v>85</c:v>
                </c:pt>
                <c:pt idx="7">
                  <c:v>95</c:v>
                </c:pt>
              </c:numCache>
            </c:numRef>
          </c:cat>
          <c:val>
            <c:numRef>
              <c:f>OptionsRUS!$Q$6:$Q$13</c:f>
              <c:numCache>
                <c:formatCode>"$"#,##0.00</c:formatCode>
                <c:ptCount val="8"/>
                <c:pt idx="0">
                  <c:v>63.757516582327767</c:v>
                </c:pt>
                <c:pt idx="1">
                  <c:v>53.757516582327767</c:v>
                </c:pt>
                <c:pt idx="2">
                  <c:v>43.757516582327767</c:v>
                </c:pt>
                <c:pt idx="3">
                  <c:v>33.757516582327767</c:v>
                </c:pt>
                <c:pt idx="4">
                  <c:v>23.757516582327767</c:v>
                </c:pt>
                <c:pt idx="5">
                  <c:v>13.757516582327767</c:v>
                </c:pt>
                <c:pt idx="6">
                  <c:v>3.7575165823277672</c:v>
                </c:pt>
                <c:pt idx="7">
                  <c:v>-6.2424834176722328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01-40B0-B397-2285E7190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313408"/>
        <c:axId val="147315328"/>
      </c:lineChart>
      <c:catAx>
        <c:axId val="1473134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CA" sz="1400"/>
                  <a:t>Spot Price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147315328"/>
        <c:crosses val="autoZero"/>
        <c:auto val="1"/>
        <c:lblAlgn val="ctr"/>
        <c:lblOffset val="100"/>
        <c:noMultiLvlLbl val="0"/>
      </c:catAx>
      <c:valAx>
        <c:axId val="1473153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CA" sz="1400"/>
                  <a:t>Profit</a:t>
                </a:r>
              </a:p>
            </c:rich>
          </c:tx>
          <c:overlay val="0"/>
        </c:title>
        <c:numFmt formatCode="&quot;$&quot;#,##0.00" sourceLinked="1"/>
        <c:majorTickMark val="out"/>
        <c:minorTickMark val="none"/>
        <c:tickLblPos val="nextTo"/>
        <c:crossAx val="147313408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gradFill>
      <a:gsLst>
        <a:gs pos="1000">
          <a:schemeClr val="accent1">
            <a:lumMod val="5000"/>
            <a:lumOff val="95000"/>
          </a:schemeClr>
        </a:gs>
        <a:gs pos="31000">
          <a:schemeClr val="accent1">
            <a:lumMod val="45000"/>
            <a:lumOff val="55000"/>
          </a:schemeClr>
        </a:gs>
        <a:gs pos="53000">
          <a:schemeClr val="accent1">
            <a:lumMod val="45000"/>
            <a:lumOff val="55000"/>
          </a:schemeClr>
        </a:gs>
        <a:gs pos="76000">
          <a:schemeClr val="accent1">
            <a:lumMod val="30000"/>
            <a:lumOff val="70000"/>
          </a:schemeClr>
        </a:gs>
      </a:gsLst>
      <a:lin ang="5400000" scaled="1"/>
    </a:gradFill>
  </c:sp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Spin" dx="16" fmlaLink="$C$4" max="100" noThreeD="1" page="10" val="4"/>
</file>

<file path=xl/ctrlProps/ctrlProp2.xml><?xml version="1.0" encoding="utf-8"?>
<formControlPr xmlns="http://schemas.microsoft.com/office/spreadsheetml/2009/9/main" objectType="Spin" dx="16" fmlaLink="$C$5" inc="25" max="1000" noThreeD="1" page="10" val="50"/>
</file>

<file path=xl/ctrlProps/ctrlProp3.xml><?xml version="1.0" encoding="utf-8"?>
<formControlPr xmlns="http://schemas.microsoft.com/office/spreadsheetml/2009/9/main" objectType="Spin" dx="16" fmlaLink="$C$6" max="100" noThreeD="1" page="10" val="35"/>
</file>

<file path=xl/ctrlProps/ctrlProp4.xml><?xml version="1.0" encoding="utf-8"?>
<formControlPr xmlns="http://schemas.microsoft.com/office/spreadsheetml/2009/9/main" objectType="Spin" dx="16" fmlaLink="$C$7" inc="5" max="500" noThreeD="1" page="10" val="65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Spin" dx="16" fmlaLink="$C$8" inc="5" max="500" noThreeD="1" page="10" val="87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314324</xdr:colOff>
      <xdr:row>14</xdr:row>
      <xdr:rowOff>84046</xdr:rowOff>
    </xdr:from>
    <xdr:to>
      <xdr:col>7</xdr:col>
      <xdr:colOff>1501588</xdr:colOff>
      <xdr:row>29</xdr:row>
      <xdr:rowOff>11206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1689287</xdr:colOff>
      <xdr:row>14</xdr:row>
      <xdr:rowOff>68356</xdr:rowOff>
    </xdr:from>
    <xdr:to>
      <xdr:col>13</xdr:col>
      <xdr:colOff>651062</xdr:colOff>
      <xdr:row>29</xdr:row>
      <xdr:rowOff>32497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733425</xdr:colOff>
      <xdr:row>14</xdr:row>
      <xdr:rowOff>46505</xdr:rowOff>
    </xdr:from>
    <xdr:to>
      <xdr:col>19</xdr:col>
      <xdr:colOff>762000</xdr:colOff>
      <xdr:row>28</xdr:row>
      <xdr:rowOff>122704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3</xdr:row>
          <xdr:rowOff>0</xdr:rowOff>
        </xdr:from>
        <xdr:to>
          <xdr:col>2</xdr:col>
          <xdr:colOff>600075</xdr:colOff>
          <xdr:row>4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4</xdr:row>
          <xdr:rowOff>0</xdr:rowOff>
        </xdr:from>
        <xdr:to>
          <xdr:col>2</xdr:col>
          <xdr:colOff>600075</xdr:colOff>
          <xdr:row>5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5</xdr:row>
          <xdr:rowOff>0</xdr:rowOff>
        </xdr:from>
        <xdr:to>
          <xdr:col>2</xdr:col>
          <xdr:colOff>600075</xdr:colOff>
          <xdr:row>6</xdr:row>
          <xdr:rowOff>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6</xdr:row>
          <xdr:rowOff>0</xdr:rowOff>
        </xdr:from>
        <xdr:to>
          <xdr:col>2</xdr:col>
          <xdr:colOff>600075</xdr:colOff>
          <xdr:row>7</xdr:row>
          <xdr:rowOff>0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8</xdr:row>
          <xdr:rowOff>28575</xdr:rowOff>
        </xdr:from>
        <xdr:to>
          <xdr:col>6</xdr:col>
          <xdr:colOff>200025</xdr:colOff>
          <xdr:row>10</xdr:row>
          <xdr:rowOff>142875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3366"/>
                  </a:solidFill>
                  <a:latin typeface="Calibri"/>
                  <a:cs typeface="Calibri"/>
                </a:rPr>
                <a:t>Reset Values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57150</xdr:colOff>
          <xdr:row>7</xdr:row>
          <xdr:rowOff>0</xdr:rowOff>
        </xdr:from>
        <xdr:to>
          <xdr:col>2</xdr:col>
          <xdr:colOff>600075</xdr:colOff>
          <xdr:row>8</xdr:row>
          <xdr:rowOff>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image" Target="../media/image1.jpeg"/><Relationship Id="rId9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7"/>
  <sheetViews>
    <sheetView workbookViewId="0">
      <selection activeCell="A7" sqref="A7"/>
    </sheetView>
  </sheetViews>
  <sheetFormatPr defaultColWidth="11.42578125" defaultRowHeight="15" x14ac:dyDescent="0.25"/>
  <cols>
    <col min="1" max="1" width="24" customWidth="1"/>
  </cols>
  <sheetData>
    <row r="1" spans="1:9" ht="21" customHeight="1" x14ac:dyDescent="0.5">
      <c r="A1" s="5" t="s">
        <v>18</v>
      </c>
      <c r="B1" s="5" t="s">
        <v>19</v>
      </c>
      <c r="C1" s="5" t="s">
        <v>20</v>
      </c>
      <c r="D1" s="8"/>
      <c r="E1" s="8"/>
      <c r="F1" s="8"/>
      <c r="G1" s="8"/>
      <c r="H1" s="8"/>
      <c r="I1" s="8"/>
    </row>
    <row r="2" spans="1:9" x14ac:dyDescent="0.25">
      <c r="A2" s="6" t="s">
        <v>21</v>
      </c>
      <c r="B2" s="7">
        <v>400030909</v>
      </c>
      <c r="C2" s="7" t="s">
        <v>22</v>
      </c>
      <c r="D2" s="1"/>
      <c r="E2" s="1"/>
      <c r="F2" s="1"/>
      <c r="G2" s="1"/>
      <c r="H2" s="1"/>
      <c r="I2" s="1"/>
    </row>
    <row r="3" spans="1:9" x14ac:dyDescent="0.25">
      <c r="D3" s="1"/>
      <c r="E3" s="1"/>
      <c r="F3" s="1"/>
      <c r="G3" s="1"/>
      <c r="H3" s="1"/>
      <c r="I3" s="1"/>
    </row>
    <row r="4" spans="1:9" x14ac:dyDescent="0.25">
      <c r="D4" s="1"/>
      <c r="E4" s="1"/>
      <c r="F4" s="1"/>
      <c r="G4" s="1"/>
      <c r="H4" s="1"/>
      <c r="I4" s="1"/>
    </row>
    <row r="5" spans="1:9" x14ac:dyDescent="0.25">
      <c r="D5" s="1"/>
      <c r="E5" s="1"/>
      <c r="F5" s="1"/>
      <c r="G5" s="1"/>
      <c r="H5" s="1"/>
      <c r="I5" s="1"/>
    </row>
    <row r="6" spans="1:9" x14ac:dyDescent="0.25">
      <c r="D6" s="1"/>
      <c r="E6" s="1"/>
      <c r="F6" s="1"/>
      <c r="G6" s="1"/>
      <c r="H6" s="1"/>
      <c r="I6" s="1"/>
    </row>
    <row r="7" spans="1:9" x14ac:dyDescent="0.25">
      <c r="D7" s="1"/>
      <c r="E7" s="1"/>
      <c r="F7" s="1"/>
      <c r="G7" s="1"/>
      <c r="H7" s="1"/>
      <c r="I7" s="1"/>
    </row>
    <row r="10" spans="1:9" x14ac:dyDescent="0.25">
      <c r="A10" s="3" t="s">
        <v>16</v>
      </c>
    </row>
    <row r="11" spans="1:9" x14ac:dyDescent="0.25">
      <c r="A11" s="2" t="s">
        <v>34</v>
      </c>
    </row>
    <row r="12" spans="1:9" x14ac:dyDescent="0.25">
      <c r="A12" s="2" t="s">
        <v>36</v>
      </c>
    </row>
    <row r="13" spans="1:9" x14ac:dyDescent="0.25">
      <c r="A13" s="3" t="s">
        <v>17</v>
      </c>
    </row>
    <row r="14" spans="1:9" x14ac:dyDescent="0.25">
      <c r="A14" s="1" t="s">
        <v>35</v>
      </c>
    </row>
    <row r="15" spans="1:9" x14ac:dyDescent="0.25">
      <c r="A15" s="2" t="s">
        <v>31</v>
      </c>
    </row>
    <row r="16" spans="1:9" x14ac:dyDescent="0.25">
      <c r="A16" s="2" t="s">
        <v>32</v>
      </c>
    </row>
    <row r="17" spans="1:1" x14ac:dyDescent="0.25">
      <c r="A17" t="s">
        <v>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14"/>
  <sheetViews>
    <sheetView showGridLines="0" tabSelected="1" zoomScale="85" zoomScaleNormal="85" workbookViewId="0">
      <selection activeCell="H2" sqref="H2"/>
    </sheetView>
  </sheetViews>
  <sheetFormatPr defaultRowHeight="15" x14ac:dyDescent="0.25"/>
  <cols>
    <col min="1" max="1" width="31.7109375" customWidth="1"/>
    <col min="2" max="2" width="11.140625" customWidth="1"/>
    <col min="3" max="3" width="9" customWidth="1"/>
    <col min="4" max="4" width="0" hidden="1" customWidth="1"/>
    <col min="5" max="5" width="14.5703125" hidden="1" customWidth="1"/>
    <col min="6" max="6" width="0" hidden="1" customWidth="1"/>
    <col min="7" max="7" width="3.5703125" customWidth="1"/>
    <col min="8" max="8" width="25.5703125" bestFit="1" customWidth="1"/>
    <col min="9" max="9" width="12.28515625" customWidth="1"/>
    <col min="10" max="10" width="17.85546875" customWidth="1"/>
    <col min="11" max="11" width="9.85546875" bestFit="1" customWidth="1"/>
    <col min="12" max="12" width="13.28515625" customWidth="1"/>
    <col min="13" max="13" width="15.28515625" customWidth="1"/>
    <col min="14" max="14" width="17.140625" customWidth="1"/>
    <col min="15" max="15" width="12.7109375" customWidth="1"/>
    <col min="16" max="16" width="17.7109375" customWidth="1"/>
    <col min="17" max="17" width="13.85546875" bestFit="1" customWidth="1"/>
    <col min="18" max="18" width="3.5703125" customWidth="1"/>
    <col min="19" max="19" width="13.85546875" customWidth="1"/>
    <col min="20" max="20" width="11.85546875" customWidth="1"/>
  </cols>
  <sheetData>
    <row r="1" spans="1:23" ht="27" x14ac:dyDescent="0.25">
      <c r="A1" s="27" t="s">
        <v>23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</row>
    <row r="2" spans="1:23" ht="18.75" thickBot="1" x14ac:dyDescent="0.3">
      <c r="A2" s="9"/>
      <c r="B2" s="9"/>
      <c r="C2" s="10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</row>
    <row r="3" spans="1:23" s="4" customFormat="1" ht="21.75" thickBot="1" x14ac:dyDescent="0.4">
      <c r="A3" s="28" t="s">
        <v>0</v>
      </c>
      <c r="B3" s="30"/>
      <c r="C3" s="29"/>
      <c r="D3" s="11"/>
      <c r="E3" s="11"/>
      <c r="F3" s="12"/>
      <c r="G3" s="12"/>
      <c r="H3" s="11"/>
      <c r="I3" s="11"/>
      <c r="J3" s="11"/>
      <c r="K3" s="11"/>
      <c r="L3" s="11"/>
      <c r="M3" s="11"/>
      <c r="N3" s="13"/>
      <c r="O3" s="11"/>
      <c r="P3" s="11"/>
      <c r="Q3" s="11"/>
      <c r="R3" s="13"/>
      <c r="S3" s="11"/>
      <c r="T3" s="11"/>
      <c r="U3"/>
    </row>
    <row r="4" spans="1:23" ht="29.25" customHeight="1" thickBot="1" x14ac:dyDescent="0.35">
      <c r="A4" s="17" t="s">
        <v>5</v>
      </c>
      <c r="B4" s="25">
        <f>C4/100</f>
        <v>0.04</v>
      </c>
      <c r="C4" s="15">
        <v>4</v>
      </c>
      <c r="D4" s="10"/>
      <c r="E4" s="14" t="s">
        <v>8</v>
      </c>
      <c r="F4" s="16">
        <f>(LN(B8/B7)+(B4+B6^2/2)*B5)/(B6*B5^0.5)</f>
        <v>1.3824779989273026</v>
      </c>
      <c r="G4" s="9"/>
      <c r="H4" s="28" t="s">
        <v>30</v>
      </c>
      <c r="I4" s="30"/>
      <c r="J4" s="29"/>
      <c r="K4" s="10"/>
      <c r="L4" s="28" t="s">
        <v>29</v>
      </c>
      <c r="M4" s="30"/>
      <c r="N4" s="29"/>
      <c r="O4" s="10"/>
      <c r="P4" s="28" t="s">
        <v>28</v>
      </c>
      <c r="Q4" s="29"/>
      <c r="R4" s="10"/>
      <c r="S4" s="10"/>
      <c r="T4" s="10"/>
    </row>
    <row r="5" spans="1:23" ht="29.25" customHeight="1" x14ac:dyDescent="0.25">
      <c r="A5" s="17" t="s">
        <v>4</v>
      </c>
      <c r="B5" s="18">
        <f>C5/100</f>
        <v>0.5</v>
      </c>
      <c r="C5" s="15">
        <v>50</v>
      </c>
      <c r="D5" s="10"/>
      <c r="E5" s="14" t="s">
        <v>9</v>
      </c>
      <c r="F5" s="16">
        <f>F4-B6*B5^0.5</f>
        <v>1.134990625512011</v>
      </c>
      <c r="G5" s="9"/>
      <c r="H5" s="24" t="s">
        <v>1</v>
      </c>
      <c r="I5" s="24" t="s">
        <v>2</v>
      </c>
      <c r="J5" s="24" t="s">
        <v>25</v>
      </c>
      <c r="K5" s="10"/>
      <c r="L5" s="24" t="s">
        <v>1</v>
      </c>
      <c r="M5" s="24" t="s">
        <v>24</v>
      </c>
      <c r="N5" s="24" t="s">
        <v>25</v>
      </c>
      <c r="O5" s="10"/>
      <c r="P5" s="24" t="s">
        <v>26</v>
      </c>
      <c r="Q5" s="24" t="s">
        <v>27</v>
      </c>
      <c r="R5" s="10"/>
      <c r="S5" s="10"/>
      <c r="T5" s="10"/>
    </row>
    <row r="6" spans="1:23" ht="27.75" customHeight="1" x14ac:dyDescent="0.25">
      <c r="A6" s="17" t="s">
        <v>15</v>
      </c>
      <c r="B6" s="19">
        <f>C6/100</f>
        <v>0.35</v>
      </c>
      <c r="C6" s="15">
        <v>35</v>
      </c>
      <c r="D6" s="10"/>
      <c r="E6" s="14" t="s">
        <v>11</v>
      </c>
      <c r="F6" s="16">
        <f>NORMSDIST(F4)</f>
        <v>0.91658750935974087</v>
      </c>
      <c r="G6" s="9"/>
      <c r="H6" s="22">
        <v>52</v>
      </c>
      <c r="I6" s="23">
        <f>B11</f>
        <v>24.197533952514178</v>
      </c>
      <c r="J6" s="23">
        <f>B13</f>
        <v>22</v>
      </c>
      <c r="K6" s="10"/>
      <c r="L6" s="22">
        <v>52</v>
      </c>
      <c r="M6" s="23">
        <f>B12</f>
        <v>0.91044771745325903</v>
      </c>
      <c r="N6" s="23">
        <f>B14</f>
        <v>0</v>
      </c>
      <c r="O6" s="10"/>
      <c r="P6" s="22">
        <v>25</v>
      </c>
      <c r="Q6" s="23">
        <f t="shared" ref="Q6:Q13" si="0">-(-$B$11+$B$12)*EXP($B$4*$B$5)-J7+N7</f>
        <v>63.757516582327767</v>
      </c>
      <c r="R6" s="10"/>
      <c r="S6" s="10"/>
      <c r="T6" s="10"/>
    </row>
    <row r="7" spans="1:23" ht="30" customHeight="1" x14ac:dyDescent="0.25">
      <c r="A7" s="17" t="s">
        <v>3</v>
      </c>
      <c r="B7" s="18">
        <f>C7</f>
        <v>65</v>
      </c>
      <c r="C7" s="15">
        <v>65</v>
      </c>
      <c r="D7" s="10"/>
      <c r="E7" s="14" t="s">
        <v>10</v>
      </c>
      <c r="F7" s="16">
        <f>NORMSDIST(F5)</f>
        <v>0.87181037688390495</v>
      </c>
      <c r="G7" s="9"/>
      <c r="H7" s="22">
        <v>25</v>
      </c>
      <c r="I7" s="23">
        <f t="dataTable" ref="I7:J14" dt2D="0" dtr="0" r1="B8"/>
        <v>1.8174933747733529E-4</v>
      </c>
      <c r="J7" s="23">
        <v>0</v>
      </c>
      <c r="K7" s="10"/>
      <c r="L7" s="22">
        <v>25</v>
      </c>
      <c r="M7" s="23">
        <f t="dataTable" ref="M7:N14" dt2D="0" dtr="0" r1="B8" ca="1"/>
        <v>38.713095514276574</v>
      </c>
      <c r="N7" s="23">
        <v>40</v>
      </c>
      <c r="O7" s="10"/>
      <c r="P7" s="22">
        <v>35</v>
      </c>
      <c r="Q7" s="23">
        <f t="shared" si="0"/>
        <v>53.757516582327767</v>
      </c>
      <c r="R7" s="10"/>
      <c r="S7" s="10"/>
      <c r="T7" s="10"/>
    </row>
    <row r="8" spans="1:23" ht="25.5" customHeight="1" x14ac:dyDescent="0.25">
      <c r="A8" s="17" t="s">
        <v>1</v>
      </c>
      <c r="B8" s="18">
        <f>C8</f>
        <v>87</v>
      </c>
      <c r="C8" s="15">
        <v>87</v>
      </c>
      <c r="D8" s="10"/>
      <c r="E8" s="14" t="s">
        <v>12</v>
      </c>
      <c r="F8" s="16">
        <f>NORMSDIST(-F4)</f>
        <v>8.3412490640259115E-2</v>
      </c>
      <c r="G8" s="9"/>
      <c r="H8" s="22">
        <v>35</v>
      </c>
      <c r="I8" s="23">
        <v>2.9696931103320501E-2</v>
      </c>
      <c r="J8" s="23">
        <v>0</v>
      </c>
      <c r="K8" s="10"/>
      <c r="L8" s="22">
        <v>35</v>
      </c>
      <c r="M8" s="23">
        <v>28.742610696042412</v>
      </c>
      <c r="N8" s="23">
        <v>30</v>
      </c>
      <c r="O8" s="10"/>
      <c r="P8" s="22">
        <v>45</v>
      </c>
      <c r="Q8" s="23">
        <f t="shared" si="0"/>
        <v>43.757516582327767</v>
      </c>
      <c r="R8" s="10"/>
      <c r="S8" s="10"/>
      <c r="T8" s="10"/>
    </row>
    <row r="9" spans="1:23" ht="18.75" thickBot="1" x14ac:dyDescent="0.3">
      <c r="A9" s="10"/>
      <c r="B9" s="10"/>
      <c r="C9" s="10"/>
      <c r="D9" s="10"/>
      <c r="E9" s="14" t="s">
        <v>13</v>
      </c>
      <c r="F9" s="16">
        <f>NORMSDIST(-F5)</f>
        <v>0.128189623116095</v>
      </c>
      <c r="G9" s="9"/>
      <c r="H9" s="22">
        <v>45</v>
      </c>
      <c r="I9" s="23">
        <v>0.47796976612837216</v>
      </c>
      <c r="J9" s="23">
        <v>0</v>
      </c>
      <c r="K9" s="10"/>
      <c r="L9" s="22">
        <v>45</v>
      </c>
      <c r="M9" s="23">
        <v>19.190883531067456</v>
      </c>
      <c r="N9" s="23">
        <v>20</v>
      </c>
      <c r="O9" s="10"/>
      <c r="P9" s="22">
        <v>55</v>
      </c>
      <c r="Q9" s="23">
        <f t="shared" si="0"/>
        <v>33.757516582327767</v>
      </c>
      <c r="R9" s="10"/>
      <c r="S9" s="10"/>
      <c r="T9" s="10"/>
    </row>
    <row r="10" spans="1:23" ht="21" thickBot="1" x14ac:dyDescent="0.35">
      <c r="A10" s="28" t="s">
        <v>14</v>
      </c>
      <c r="B10" s="29"/>
      <c r="C10" s="10"/>
      <c r="D10" s="10"/>
      <c r="E10" s="10"/>
      <c r="F10" s="10"/>
      <c r="G10" s="10"/>
      <c r="H10" s="22">
        <v>55</v>
      </c>
      <c r="I10" s="23">
        <v>2.484320308731041</v>
      </c>
      <c r="J10" s="23">
        <v>0</v>
      </c>
      <c r="K10" s="10"/>
      <c r="L10" s="22">
        <v>55</v>
      </c>
      <c r="M10" s="23">
        <v>11.197234073670138</v>
      </c>
      <c r="N10" s="23">
        <v>10</v>
      </c>
      <c r="O10" s="10"/>
      <c r="P10" s="22">
        <v>65</v>
      </c>
      <c r="Q10" s="23">
        <f t="shared" si="0"/>
        <v>23.757516582327767</v>
      </c>
      <c r="R10" s="10"/>
      <c r="S10" s="10"/>
      <c r="T10" s="10"/>
    </row>
    <row r="11" spans="1:23" ht="18" x14ac:dyDescent="0.25">
      <c r="A11" s="17" t="s">
        <v>2</v>
      </c>
      <c r="B11" s="26">
        <f>B8*F6-B7*EXP(-B4*B5)*F7</f>
        <v>24.197533952514178</v>
      </c>
      <c r="C11" s="10"/>
      <c r="D11" s="10"/>
      <c r="E11" s="10"/>
      <c r="F11" s="10"/>
      <c r="G11" s="10"/>
      <c r="H11" s="22">
        <v>65</v>
      </c>
      <c r="I11" s="23">
        <v>7.0020593522247516</v>
      </c>
      <c r="J11" s="23">
        <v>0</v>
      </c>
      <c r="K11" s="10"/>
      <c r="L11" s="22">
        <v>65</v>
      </c>
      <c r="M11" s="23">
        <v>5.7149731171638329</v>
      </c>
      <c r="N11" s="23">
        <v>0</v>
      </c>
      <c r="O11" s="10"/>
      <c r="P11" s="22">
        <v>75</v>
      </c>
      <c r="Q11" s="23">
        <f t="shared" si="0"/>
        <v>13.757516582327767</v>
      </c>
      <c r="R11" s="10"/>
      <c r="S11" s="10"/>
      <c r="T11" s="10"/>
    </row>
    <row r="12" spans="1:23" ht="18" x14ac:dyDescent="0.25">
      <c r="A12" s="17" t="s">
        <v>24</v>
      </c>
      <c r="B12" s="20">
        <f>B7*EXP(-B4*B5)*F9-B8*F8</f>
        <v>0.91044771745325903</v>
      </c>
      <c r="C12" s="10"/>
      <c r="D12" s="10"/>
      <c r="E12" s="10"/>
      <c r="F12" s="10"/>
      <c r="G12" s="10"/>
      <c r="H12" s="22">
        <v>75</v>
      </c>
      <c r="I12" s="23">
        <v>13.894503465194255</v>
      </c>
      <c r="J12" s="23">
        <v>10</v>
      </c>
      <c r="K12" s="10"/>
      <c r="L12" s="22">
        <v>75</v>
      </c>
      <c r="M12" s="23">
        <v>2.6074172301333398</v>
      </c>
      <c r="N12" s="23">
        <v>0</v>
      </c>
      <c r="O12" s="10"/>
      <c r="P12" s="22">
        <v>85</v>
      </c>
      <c r="Q12" s="23">
        <f t="shared" si="0"/>
        <v>3.7575165823277672</v>
      </c>
      <c r="R12" s="10"/>
      <c r="S12" s="10"/>
      <c r="T12" s="10"/>
    </row>
    <row r="13" spans="1:23" ht="18" x14ac:dyDescent="0.25">
      <c r="A13" s="17" t="s">
        <v>6</v>
      </c>
      <c r="B13" s="21">
        <f>MAX(0,B8-B7)</f>
        <v>22</v>
      </c>
      <c r="C13" s="10"/>
      <c r="D13" s="10"/>
      <c r="E13" s="10"/>
      <c r="F13" s="10"/>
      <c r="G13" s="10"/>
      <c r="H13" s="22">
        <v>85</v>
      </c>
      <c r="I13" s="23">
        <v>22.379350435756812</v>
      </c>
      <c r="J13" s="23">
        <v>20</v>
      </c>
      <c r="K13" s="10"/>
      <c r="L13" s="22">
        <v>85</v>
      </c>
      <c r="M13" s="23">
        <v>1.0922642006958991</v>
      </c>
      <c r="N13" s="23">
        <v>0</v>
      </c>
      <c r="O13" s="10"/>
      <c r="P13" s="22">
        <v>95</v>
      </c>
      <c r="Q13" s="23">
        <f t="shared" si="0"/>
        <v>-6.2424834176722328</v>
      </c>
      <c r="R13" s="10"/>
      <c r="S13" s="10"/>
      <c r="T13" s="10"/>
    </row>
    <row r="14" spans="1:23" ht="18" x14ac:dyDescent="0.25">
      <c r="A14" s="17" t="s">
        <v>7</v>
      </c>
      <c r="B14" s="21">
        <f>MAX(0,B7-B8)</f>
        <v>0</v>
      </c>
      <c r="C14" s="10"/>
      <c r="D14" s="10"/>
      <c r="E14" s="10"/>
      <c r="F14" s="10"/>
      <c r="G14" s="10"/>
      <c r="H14" s="22">
        <v>95</v>
      </c>
      <c r="I14" s="23">
        <v>31.717401842838342</v>
      </c>
      <c r="J14" s="23">
        <v>30</v>
      </c>
      <c r="K14" s="10"/>
      <c r="L14" s="22">
        <v>95</v>
      </c>
      <c r="M14" s="23">
        <v>0.43031560777742905</v>
      </c>
      <c r="N14" s="23">
        <v>0</v>
      </c>
      <c r="O14" s="10"/>
      <c r="P14" s="10"/>
      <c r="Q14" s="10"/>
      <c r="R14" s="10"/>
      <c r="S14" s="10"/>
      <c r="T14" s="10"/>
    </row>
  </sheetData>
  <mergeCells count="6">
    <mergeCell ref="A1:W1"/>
    <mergeCell ref="P4:Q4"/>
    <mergeCell ref="A3:C3"/>
    <mergeCell ref="A10:B10"/>
    <mergeCell ref="H4:J4"/>
    <mergeCell ref="L4:N4"/>
  </mergeCells>
  <pageMargins left="0.7" right="0.7" top="0.75" bottom="0.75" header="0.3" footer="0.3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pinner 1">
              <controlPr locked="0" defaultSize="0" autoPict="0">
                <anchor moveWithCells="1" sizeWithCells="1">
                  <from>
                    <xdr:col>2</xdr:col>
                    <xdr:colOff>57150</xdr:colOff>
                    <xdr:row>3</xdr:row>
                    <xdr:rowOff>0</xdr:rowOff>
                  </from>
                  <to>
                    <xdr:col>2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Spinner 2">
              <controlPr locked="0" defaultSize="0" autoPict="0">
                <anchor moveWithCells="1" sizeWithCells="1">
                  <from>
                    <xdr:col>2</xdr:col>
                    <xdr:colOff>57150</xdr:colOff>
                    <xdr:row>4</xdr:row>
                    <xdr:rowOff>0</xdr:rowOff>
                  </from>
                  <to>
                    <xdr:col>2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Spinner 3">
              <controlPr locked="0" defaultSize="0" autoPict="0">
                <anchor moveWithCells="1" sizeWithCells="1">
                  <from>
                    <xdr:col>2</xdr:col>
                    <xdr:colOff>57150</xdr:colOff>
                    <xdr:row>5</xdr:row>
                    <xdr:rowOff>0</xdr:rowOff>
                  </from>
                  <to>
                    <xdr:col>2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Spinner 4">
              <controlPr locked="0" defaultSize="0" autoPict="0">
                <anchor moveWithCells="1" sizeWithCells="1">
                  <from>
                    <xdr:col>2</xdr:col>
                    <xdr:colOff>57150</xdr:colOff>
                    <xdr:row>6</xdr:row>
                    <xdr:rowOff>0</xdr:rowOff>
                  </from>
                  <to>
                    <xdr:col>2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locked="0" defaultSize="0" print="0" autoFill="0" autoPict="0" macro="[0]!Button5_Click">
                <anchor moveWithCells="1" sizeWithCells="1">
                  <from>
                    <xdr:col>2</xdr:col>
                    <xdr:colOff>19050</xdr:colOff>
                    <xdr:row>8</xdr:row>
                    <xdr:rowOff>28575</xdr:rowOff>
                  </from>
                  <to>
                    <xdr:col>6</xdr:col>
                    <xdr:colOff>200025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Spinner 6">
              <controlPr locked="0" defaultSize="0" autoPict="0">
                <anchor moveWithCells="1" sizeWithCells="1">
                  <from>
                    <xdr:col>2</xdr:col>
                    <xdr:colOff>57150</xdr:colOff>
                    <xdr:row>7</xdr:row>
                    <xdr:rowOff>0</xdr:rowOff>
                  </from>
                  <to>
                    <xdr:col>2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Group members</vt:lpstr>
      <vt:lpstr>OptionsRUS</vt:lpstr>
      <vt:lpstr>Excercise_Price</vt:lpstr>
      <vt:lpstr>RiskFreeRate</vt:lpstr>
      <vt:lpstr>Spot_Price</vt:lpstr>
      <vt:lpstr>Standard_Deviation</vt:lpstr>
      <vt:lpstr>TimeToExpiry</vt:lpstr>
    </vt:vector>
  </TitlesOfParts>
  <Company>McMaster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Brewer</dc:creator>
  <cp:lastModifiedBy>Shangeeth Uthayakumar</cp:lastModifiedBy>
  <dcterms:created xsi:type="dcterms:W3CDTF">2014-08-08T20:24:53Z</dcterms:created>
  <dcterms:modified xsi:type="dcterms:W3CDTF">2019-11-10T02:44:27Z</dcterms:modified>
</cp:coreProperties>
</file>